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ompassion.sharepoint.com/teams/PEOffice-PRO/Shared Documents/PRO/03 Engagement/3. SDS/0.- Indicadores/Bases de otros reportes/"/>
    </mc:Choice>
  </mc:AlternateContent>
  <xr:revisionPtr revIDLastSave="218" documentId="11_F25DC773A252ABDACC1048F8099C56945ADE58ED" xr6:coauthVersionLast="47" xr6:coauthVersionMax="47" xr10:uidLastSave="{67939D1F-D2FA-439C-BE25-66BA64357013}"/>
  <bookViews>
    <workbookView xWindow="28680" yWindow="-120" windowWidth="29040" windowHeight="15720" xr2:uid="{00000000-000D-0000-FFFF-FFFF00000000}"/>
  </bookViews>
  <sheets>
    <sheet name="PagoTraduc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40" i="1"/>
  <c r="N39" i="1"/>
  <c r="N38" i="1"/>
  <c r="K38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K40" i="1"/>
  <c r="K39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L41" i="1" l="1"/>
  <c r="N41" i="1" l="1"/>
  <c r="K41" i="1"/>
</calcChain>
</file>

<file path=xl/sharedStrings.xml><?xml version="1.0" encoding="utf-8"?>
<sst xmlns="http://schemas.openxmlformats.org/spreadsheetml/2006/main" count="254" uniqueCount="77">
  <si>
    <t>FY</t>
  </si>
  <si>
    <t>Mes</t>
  </si>
  <si>
    <t>Tipo Traductor</t>
  </si>
  <si>
    <t>Budget</t>
  </si>
  <si>
    <t>Q Licencias</t>
  </si>
  <si>
    <t>Costo x Licencia</t>
  </si>
  <si>
    <t>Costo total Licencia</t>
  </si>
  <si>
    <t>Licencia adicional</t>
  </si>
  <si>
    <t>Costo Carta</t>
  </si>
  <si>
    <t>Q Cartas</t>
  </si>
  <si>
    <t>Julio</t>
  </si>
  <si>
    <t>01_Jul</t>
  </si>
  <si>
    <t>General</t>
  </si>
  <si>
    <t>Agosto</t>
  </si>
  <si>
    <t>02_Ago</t>
  </si>
  <si>
    <t>Septiembre</t>
  </si>
  <si>
    <t>03_Sep</t>
  </si>
  <si>
    <t>Octubre</t>
  </si>
  <si>
    <t>04_Oct</t>
  </si>
  <si>
    <t>Noviembre</t>
  </si>
  <si>
    <t>05_Nov</t>
  </si>
  <si>
    <t>Diciembre</t>
  </si>
  <si>
    <t>06_Dic</t>
  </si>
  <si>
    <t>Enero</t>
  </si>
  <si>
    <t>07_Ene</t>
  </si>
  <si>
    <t>Febrero</t>
  </si>
  <si>
    <t>08_Feb</t>
  </si>
  <si>
    <t>Marzo</t>
  </si>
  <si>
    <t>09_Mar</t>
  </si>
  <si>
    <t>Abril</t>
  </si>
  <si>
    <t>10_Abr</t>
  </si>
  <si>
    <t>Mayo</t>
  </si>
  <si>
    <t>11_May</t>
  </si>
  <si>
    <t>Junio</t>
  </si>
  <si>
    <t>12_Jun</t>
  </si>
  <si>
    <t>WH</t>
  </si>
  <si>
    <t>Otros</t>
  </si>
  <si>
    <t>Pago solo cartas (menos licencias)</t>
  </si>
  <si>
    <t>PagoTotal (traduccion y revisión de cartas y licencias)</t>
  </si>
  <si>
    <t>Mes_FY</t>
  </si>
  <si>
    <t>25_Jul</t>
  </si>
  <si>
    <t>25_Ago</t>
  </si>
  <si>
    <t>25_Sep</t>
  </si>
  <si>
    <t>25_Oct</t>
  </si>
  <si>
    <t>25_Nov</t>
  </si>
  <si>
    <t>25_Dic</t>
  </si>
  <si>
    <t>25_Ene</t>
  </si>
  <si>
    <t>25_Feb</t>
  </si>
  <si>
    <t>25_Mar</t>
  </si>
  <si>
    <t>25_Abr</t>
  </si>
  <si>
    <t>25_May</t>
  </si>
  <si>
    <t>25_Jun</t>
  </si>
  <si>
    <t>26_Jul</t>
  </si>
  <si>
    <t>26_Ago</t>
  </si>
  <si>
    <t>26_Sep</t>
  </si>
  <si>
    <t>26_Oct</t>
  </si>
  <si>
    <t>26_Nov</t>
  </si>
  <si>
    <t>26_Dic</t>
  </si>
  <si>
    <t>26_Ene</t>
  </si>
  <si>
    <t>26_Feb</t>
  </si>
  <si>
    <t>26_Mar</t>
  </si>
  <si>
    <t>26_Abr</t>
  </si>
  <si>
    <t>26_May</t>
  </si>
  <si>
    <t>26_Jun</t>
  </si>
  <si>
    <t>27_Jul</t>
  </si>
  <si>
    <t>27_Ago</t>
  </si>
  <si>
    <t>27_Sep</t>
  </si>
  <si>
    <t>27_Oct</t>
  </si>
  <si>
    <t>27_Nov</t>
  </si>
  <si>
    <t>27_Dic</t>
  </si>
  <si>
    <t>27_Ene</t>
  </si>
  <si>
    <t>27_Feb</t>
  </si>
  <si>
    <t>27_Mar</t>
  </si>
  <si>
    <t>27_Abr</t>
  </si>
  <si>
    <t>27_May</t>
  </si>
  <si>
    <t>27_Jun</t>
  </si>
  <si>
    <t>Cod Mes y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</si>
</sst>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F18" sqref="F18"/>
    </sheetView>
  </sheetViews>
  <sheetFormatPr defaultRowHeight="14.4" x14ac:dyDescent="0.3"/>
  <cols>
    <col min="1" max="1" width="5" bestFit="1" customWidth="1"/>
    <col min="2" max="2" width="10.21875" bestFit="1" customWidth="1"/>
    <col min="3" max="3" width="8.6640625" bestFit="1" customWidth="1"/>
    <col min="4" max="4" width="7.88671875" bestFit="1" customWidth="1"/>
    <col min="5" max="5" width="13.109375" bestFit="1" customWidth="1"/>
    <col min="6" max="6" width="12" bestFit="1" customWidth="1"/>
    <col min="7" max="7" width="10.109375" bestFit="1" customWidth="1"/>
    <col min="8" max="8" width="14.21875" bestFit="1" customWidth="1"/>
    <col min="9" max="9" width="17.33203125" bestFit="1" customWidth="1"/>
    <col min="10" max="10" width="15.44140625" bestFit="1" customWidth="1"/>
    <col min="11" max="11" width="29.109375" bestFit="1" customWidth="1"/>
    <col min="12" max="12" width="34.21875" bestFit="1" customWidth="1"/>
    <col min="13" max="13" width="8" bestFit="1" customWidth="1"/>
    <col min="14" max="14" width="12" bestFit="1" customWidth="1"/>
  </cols>
  <sheetData>
    <row r="1" spans="1:14" x14ac:dyDescent="0.3">
      <c r="A1" t="s">
        <v>0</v>
      </c>
      <c r="B1" t="s">
        <v>1</v>
      </c>
      <c r="C1" t="s">
        <v>39</v>
      </c>
      <c r="D1" t="s">
        <v>76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37</v>
      </c>
      <c r="L1" t="s">
        <v>38</v>
      </c>
      <c r="M1" t="s">
        <v>9</v>
      </c>
      <c r="N1" t="s">
        <v>8</v>
      </c>
    </row>
    <row r="2" spans="1:14" x14ac:dyDescent="0.3">
      <c r="A2">
        <v>2025</v>
      </c>
      <c r="B2" t="s">
        <v>10</v>
      </c>
      <c r="C2" t="s">
        <v>11</v>
      </c>
      <c r="D2" t="s">
        <v>40</v>
      </c>
      <c r="E2" t="s">
        <v>12</v>
      </c>
      <c r="F2">
        <v>53055</v>
      </c>
      <c r="G2">
        <v>0</v>
      </c>
      <c r="H2">
        <v>0</v>
      </c>
      <c r="I2">
        <v>0</v>
      </c>
      <c r="J2">
        <v>0</v>
      </c>
      <c r="K2" s="2">
        <f t="shared" ref="K2:K41" si="0">+L2-(J2+G2)*H2</f>
        <v>159384.72</v>
      </c>
      <c r="L2" s="2">
        <v>159384.72</v>
      </c>
      <c r="M2" s="2">
        <v>91751</v>
      </c>
      <c r="N2" s="1">
        <f t="shared" ref="N2:N41" si="1">+L2/M2</f>
        <v>1.7371442273108739</v>
      </c>
    </row>
    <row r="3" spans="1:14" x14ac:dyDescent="0.3">
      <c r="A3">
        <v>2025</v>
      </c>
      <c r="B3" t="s">
        <v>13</v>
      </c>
      <c r="C3" t="s">
        <v>14</v>
      </c>
      <c r="D3" t="s">
        <v>41</v>
      </c>
      <c r="E3" t="s">
        <v>12</v>
      </c>
      <c r="F3">
        <v>56039</v>
      </c>
      <c r="G3">
        <v>0</v>
      </c>
      <c r="H3">
        <v>0</v>
      </c>
      <c r="I3">
        <v>0</v>
      </c>
      <c r="J3">
        <v>0</v>
      </c>
      <c r="K3" s="2">
        <f t="shared" si="0"/>
        <v>35671.47</v>
      </c>
      <c r="L3" s="2">
        <v>35671.47</v>
      </c>
      <c r="M3" s="2">
        <v>17520</v>
      </c>
      <c r="N3" s="1">
        <f t="shared" si="1"/>
        <v>2.0360428082191779</v>
      </c>
    </row>
    <row r="4" spans="1:14" x14ac:dyDescent="0.3">
      <c r="A4">
        <v>2025</v>
      </c>
      <c r="B4" t="s">
        <v>15</v>
      </c>
      <c r="C4" t="s">
        <v>16</v>
      </c>
      <c r="D4" t="s">
        <v>42</v>
      </c>
      <c r="E4" t="s">
        <v>12</v>
      </c>
      <c r="F4">
        <v>46959</v>
      </c>
      <c r="G4">
        <v>0</v>
      </c>
      <c r="H4">
        <v>0</v>
      </c>
      <c r="I4">
        <v>0</v>
      </c>
      <c r="J4">
        <v>0</v>
      </c>
      <c r="K4" s="2">
        <f t="shared" si="0"/>
        <v>43665.47</v>
      </c>
      <c r="L4" s="2">
        <v>43665.47</v>
      </c>
      <c r="M4" s="2">
        <v>23953</v>
      </c>
      <c r="N4" s="1">
        <f t="shared" si="1"/>
        <v>1.8229645555880265</v>
      </c>
    </row>
    <row r="5" spans="1:14" x14ac:dyDescent="0.3">
      <c r="A5">
        <v>2025</v>
      </c>
      <c r="B5" t="s">
        <v>17</v>
      </c>
      <c r="C5" t="s">
        <v>18</v>
      </c>
      <c r="D5" t="s">
        <v>43</v>
      </c>
      <c r="E5" t="s">
        <v>12</v>
      </c>
      <c r="F5">
        <v>67054</v>
      </c>
      <c r="G5">
        <v>0</v>
      </c>
      <c r="H5">
        <v>0</v>
      </c>
      <c r="I5">
        <v>0</v>
      </c>
      <c r="J5">
        <v>0</v>
      </c>
      <c r="K5" s="2">
        <f t="shared" si="0"/>
        <v>70064.58</v>
      </c>
      <c r="L5" s="2">
        <v>70064.58</v>
      </c>
      <c r="M5" s="2">
        <v>35847</v>
      </c>
      <c r="N5" s="1">
        <f t="shared" si="1"/>
        <v>1.9545451502217759</v>
      </c>
    </row>
    <row r="6" spans="1:14" x14ac:dyDescent="0.3">
      <c r="A6">
        <v>2025</v>
      </c>
      <c r="B6" t="s">
        <v>19</v>
      </c>
      <c r="C6" t="s">
        <v>20</v>
      </c>
      <c r="D6" t="s">
        <v>44</v>
      </c>
      <c r="E6" t="s">
        <v>12</v>
      </c>
      <c r="F6">
        <v>67197</v>
      </c>
      <c r="G6">
        <v>0</v>
      </c>
      <c r="H6">
        <v>0</v>
      </c>
      <c r="I6">
        <v>0</v>
      </c>
      <c r="J6">
        <v>0</v>
      </c>
      <c r="K6" s="2">
        <f t="shared" si="0"/>
        <v>51444.03</v>
      </c>
      <c r="L6" s="2">
        <v>51444.03</v>
      </c>
      <c r="M6" s="2">
        <v>37991</v>
      </c>
      <c r="N6" s="1">
        <f t="shared" si="1"/>
        <v>1.3541109736516543</v>
      </c>
    </row>
    <row r="7" spans="1:14" x14ac:dyDescent="0.3">
      <c r="A7">
        <v>2025</v>
      </c>
      <c r="B7" t="s">
        <v>21</v>
      </c>
      <c r="C7" t="s">
        <v>22</v>
      </c>
      <c r="D7" t="s">
        <v>45</v>
      </c>
      <c r="E7" t="s">
        <v>12</v>
      </c>
      <c r="F7">
        <v>65923</v>
      </c>
      <c r="G7">
        <v>0</v>
      </c>
      <c r="H7">
        <v>0</v>
      </c>
      <c r="I7">
        <v>0</v>
      </c>
      <c r="J7">
        <v>0</v>
      </c>
      <c r="K7" s="2">
        <f t="shared" si="0"/>
        <v>91230.989999999991</v>
      </c>
      <c r="L7" s="2">
        <v>91230.989999999991</v>
      </c>
      <c r="M7" s="2">
        <v>47584</v>
      </c>
      <c r="N7" s="1">
        <f t="shared" si="1"/>
        <v>1.9172618947545392</v>
      </c>
    </row>
    <row r="8" spans="1:14" x14ac:dyDescent="0.3">
      <c r="A8">
        <v>2025</v>
      </c>
      <c r="B8" t="s">
        <v>23</v>
      </c>
      <c r="C8" t="s">
        <v>24</v>
      </c>
      <c r="D8" t="s">
        <v>46</v>
      </c>
      <c r="E8" t="s">
        <v>12</v>
      </c>
      <c r="F8">
        <v>41200</v>
      </c>
      <c r="G8">
        <v>0</v>
      </c>
      <c r="H8">
        <v>0</v>
      </c>
      <c r="I8">
        <v>0</v>
      </c>
      <c r="J8">
        <v>0</v>
      </c>
      <c r="K8" s="2">
        <f t="shared" si="0"/>
        <v>34219.509999999995</v>
      </c>
      <c r="L8" s="2">
        <v>34219.509999999995</v>
      </c>
      <c r="M8" s="2">
        <v>18972</v>
      </c>
      <c r="N8" s="1">
        <f t="shared" si="1"/>
        <v>1.8036849040691543</v>
      </c>
    </row>
    <row r="9" spans="1:14" x14ac:dyDescent="0.3">
      <c r="A9">
        <v>2025</v>
      </c>
      <c r="B9" t="s">
        <v>25</v>
      </c>
      <c r="C9" t="s">
        <v>26</v>
      </c>
      <c r="D9" t="s">
        <v>47</v>
      </c>
      <c r="E9" t="s">
        <v>12</v>
      </c>
      <c r="F9">
        <v>50809</v>
      </c>
      <c r="G9">
        <v>0</v>
      </c>
      <c r="H9">
        <v>0</v>
      </c>
      <c r="I9">
        <v>0</v>
      </c>
      <c r="J9">
        <v>0</v>
      </c>
      <c r="K9" s="2">
        <f t="shared" si="0"/>
        <v>29439.270000000004</v>
      </c>
      <c r="L9" s="2">
        <v>29439.270000000004</v>
      </c>
      <c r="M9" s="2">
        <v>17945</v>
      </c>
      <c r="N9" s="1">
        <f t="shared" si="1"/>
        <v>1.6405277235998887</v>
      </c>
    </row>
    <row r="10" spans="1:14" x14ac:dyDescent="0.3">
      <c r="A10">
        <v>2025</v>
      </c>
      <c r="B10" t="s">
        <v>27</v>
      </c>
      <c r="C10" t="s">
        <v>28</v>
      </c>
      <c r="D10" t="s">
        <v>48</v>
      </c>
      <c r="E10" t="s">
        <v>12</v>
      </c>
      <c r="F10">
        <v>50420</v>
      </c>
      <c r="G10">
        <v>0</v>
      </c>
      <c r="H10">
        <v>0</v>
      </c>
      <c r="I10">
        <v>0</v>
      </c>
      <c r="J10">
        <v>0</v>
      </c>
      <c r="K10" s="2">
        <f t="shared" si="0"/>
        <v>64800.260000000009</v>
      </c>
      <c r="L10" s="2">
        <v>64800.260000000009</v>
      </c>
      <c r="M10" s="2">
        <v>39724</v>
      </c>
      <c r="N10" s="1">
        <f t="shared" si="1"/>
        <v>1.6312622092437823</v>
      </c>
    </row>
    <row r="11" spans="1:14" x14ac:dyDescent="0.3">
      <c r="A11">
        <v>2025</v>
      </c>
      <c r="B11" t="s">
        <v>29</v>
      </c>
      <c r="C11" t="s">
        <v>30</v>
      </c>
      <c r="D11" t="s">
        <v>49</v>
      </c>
      <c r="E11" t="s">
        <v>12</v>
      </c>
      <c r="F11">
        <v>50468</v>
      </c>
      <c r="G11">
        <v>0</v>
      </c>
      <c r="H11">
        <v>0</v>
      </c>
      <c r="I11">
        <v>0</v>
      </c>
      <c r="J11">
        <v>0</v>
      </c>
      <c r="K11" s="2">
        <f t="shared" si="0"/>
        <v>42329.55</v>
      </c>
      <c r="L11" s="2">
        <v>42329.55</v>
      </c>
      <c r="M11" s="2">
        <v>26830</v>
      </c>
      <c r="N11" s="1">
        <f t="shared" si="1"/>
        <v>1.5776947446887812</v>
      </c>
    </row>
    <row r="12" spans="1:14" x14ac:dyDescent="0.3">
      <c r="A12">
        <v>2025</v>
      </c>
      <c r="B12" t="s">
        <v>31</v>
      </c>
      <c r="C12" t="s">
        <v>32</v>
      </c>
      <c r="D12" t="s">
        <v>50</v>
      </c>
      <c r="E12" t="s">
        <v>12</v>
      </c>
      <c r="F12">
        <v>44129</v>
      </c>
      <c r="G12">
        <v>0</v>
      </c>
      <c r="H12">
        <v>0</v>
      </c>
      <c r="I12">
        <v>0</v>
      </c>
      <c r="J12">
        <v>0</v>
      </c>
      <c r="K12" s="2">
        <f t="shared" si="0"/>
        <v>28057.74</v>
      </c>
      <c r="L12" s="2">
        <v>28057.74</v>
      </c>
      <c r="M12" s="2">
        <v>16905</v>
      </c>
      <c r="N12" s="1">
        <f t="shared" si="1"/>
        <v>1.6597302573203194</v>
      </c>
    </row>
    <row r="13" spans="1:14" x14ac:dyDescent="0.3">
      <c r="A13">
        <v>2025</v>
      </c>
      <c r="B13" t="s">
        <v>33</v>
      </c>
      <c r="C13" t="s">
        <v>34</v>
      </c>
      <c r="D13" t="s">
        <v>51</v>
      </c>
      <c r="E13" t="s">
        <v>12</v>
      </c>
      <c r="F13">
        <v>60135</v>
      </c>
      <c r="G13">
        <v>0</v>
      </c>
      <c r="H13">
        <v>0</v>
      </c>
      <c r="I13">
        <v>0</v>
      </c>
      <c r="J13">
        <v>0</v>
      </c>
      <c r="K13" s="2">
        <f t="shared" si="0"/>
        <v>68389.52</v>
      </c>
      <c r="L13" s="2">
        <v>68389.52</v>
      </c>
      <c r="M13" s="2">
        <v>40093</v>
      </c>
      <c r="N13" s="1">
        <f t="shared" si="1"/>
        <v>1.7057720799141995</v>
      </c>
    </row>
    <row r="14" spans="1:14" x14ac:dyDescent="0.3">
      <c r="A14">
        <v>2026</v>
      </c>
      <c r="B14" t="s">
        <v>10</v>
      </c>
      <c r="C14" t="s">
        <v>11</v>
      </c>
      <c r="D14" t="s">
        <v>52</v>
      </c>
      <c r="E14" t="s">
        <v>35</v>
      </c>
      <c r="F14" s="4">
        <v>48030.789473684214</v>
      </c>
      <c r="G14">
        <v>15</v>
      </c>
      <c r="H14">
        <v>90</v>
      </c>
      <c r="I14">
        <f>+(G14+J14)*H14</f>
        <v>1350</v>
      </c>
      <c r="J14">
        <v>0</v>
      </c>
      <c r="K14" s="2">
        <f t="shared" si="0"/>
        <v>40328.53</v>
      </c>
      <c r="L14" s="2">
        <v>41678.53</v>
      </c>
      <c r="M14" s="2">
        <v>24160</v>
      </c>
      <c r="N14" s="1">
        <f t="shared" si="1"/>
        <v>1.7251047185430464</v>
      </c>
    </row>
    <row r="15" spans="1:14" x14ac:dyDescent="0.3">
      <c r="A15">
        <v>2026</v>
      </c>
      <c r="B15" t="s">
        <v>10</v>
      </c>
      <c r="C15" t="s">
        <v>11</v>
      </c>
      <c r="D15" t="s">
        <v>52</v>
      </c>
      <c r="E15" t="s">
        <v>36</v>
      </c>
      <c r="F15" s="4">
        <v>12808.21052631579</v>
      </c>
      <c r="G15">
        <v>4</v>
      </c>
      <c r="H15">
        <v>90</v>
      </c>
      <c r="I15">
        <f t="shared" ref="I15:I61" si="2">+(G15+J15)*H15</f>
        <v>360</v>
      </c>
      <c r="J15">
        <v>0</v>
      </c>
      <c r="K15" s="2">
        <f t="shared" si="0"/>
        <v>1890.6</v>
      </c>
      <c r="L15" s="2">
        <v>2250.6</v>
      </c>
      <c r="M15" s="2">
        <v>2690</v>
      </c>
      <c r="N15" s="1">
        <f t="shared" si="1"/>
        <v>0.83665427509293677</v>
      </c>
    </row>
    <row r="16" spans="1:14" x14ac:dyDescent="0.3">
      <c r="A16">
        <v>2026</v>
      </c>
      <c r="B16" t="s">
        <v>13</v>
      </c>
      <c r="C16" t="s">
        <v>14</v>
      </c>
      <c r="D16" t="s">
        <v>53</v>
      </c>
      <c r="E16" t="s">
        <v>35</v>
      </c>
      <c r="F16" s="4">
        <v>41368.571428571428</v>
      </c>
      <c r="G16">
        <v>15</v>
      </c>
      <c r="H16">
        <v>90</v>
      </c>
      <c r="I16">
        <f t="shared" si="2"/>
        <v>1350</v>
      </c>
      <c r="J16">
        <v>0</v>
      </c>
      <c r="K16" s="2">
        <f t="shared" si="0"/>
        <v>7672.75</v>
      </c>
      <c r="L16" s="2">
        <v>9022.75</v>
      </c>
      <c r="M16" s="2">
        <v>9840</v>
      </c>
      <c r="N16" s="1">
        <f t="shared" si="1"/>
        <v>0.91694613821138216</v>
      </c>
    </row>
    <row r="17" spans="1:14" x14ac:dyDescent="0.3">
      <c r="A17">
        <v>2026</v>
      </c>
      <c r="B17" t="s">
        <v>13</v>
      </c>
      <c r="C17" t="s">
        <v>14</v>
      </c>
      <c r="D17" t="s">
        <v>53</v>
      </c>
      <c r="E17" t="s">
        <v>36</v>
      </c>
      <c r="F17" s="4">
        <v>16547.428571428572</v>
      </c>
      <c r="G17">
        <v>6</v>
      </c>
      <c r="H17">
        <v>90</v>
      </c>
      <c r="I17">
        <f t="shared" si="2"/>
        <v>540</v>
      </c>
      <c r="J17">
        <v>0</v>
      </c>
      <c r="K17" s="2">
        <f t="shared" si="0"/>
        <v>2547.6</v>
      </c>
      <c r="L17" s="2">
        <v>3087.6</v>
      </c>
      <c r="M17" s="2">
        <v>4410</v>
      </c>
      <c r="N17" s="1">
        <f t="shared" si="1"/>
        <v>0.70013605442176874</v>
      </c>
    </row>
    <row r="18" spans="1:14" x14ac:dyDescent="0.3">
      <c r="A18">
        <v>2026</v>
      </c>
      <c r="B18" t="s">
        <v>15</v>
      </c>
      <c r="C18" t="s">
        <v>16</v>
      </c>
      <c r="D18" t="s">
        <v>54</v>
      </c>
      <c r="E18" t="s">
        <v>35</v>
      </c>
      <c r="F18" s="4">
        <v>30856.5</v>
      </c>
      <c r="G18">
        <v>3</v>
      </c>
      <c r="H18">
        <v>90</v>
      </c>
      <c r="I18">
        <f t="shared" si="2"/>
        <v>270</v>
      </c>
      <c r="J18">
        <v>0</v>
      </c>
      <c r="K18" s="2">
        <f t="shared" si="0"/>
        <v>21222.76</v>
      </c>
      <c r="L18" s="2">
        <v>21492.76</v>
      </c>
      <c r="M18" s="2">
        <v>21501</v>
      </c>
      <c r="N18" s="1">
        <f t="shared" si="1"/>
        <v>0.99961676201106919</v>
      </c>
    </row>
    <row r="19" spans="1:14" x14ac:dyDescent="0.3">
      <c r="A19">
        <v>2026</v>
      </c>
      <c r="B19" t="s">
        <v>15</v>
      </c>
      <c r="C19" t="s">
        <v>16</v>
      </c>
      <c r="D19" t="s">
        <v>54</v>
      </c>
      <c r="E19" t="s">
        <v>36</v>
      </c>
      <c r="F19" s="4">
        <v>30856.5</v>
      </c>
      <c r="G19">
        <v>3</v>
      </c>
      <c r="H19">
        <v>90</v>
      </c>
      <c r="I19">
        <f t="shared" si="2"/>
        <v>270</v>
      </c>
      <c r="J19">
        <v>0</v>
      </c>
      <c r="K19" s="2">
        <f t="shared" si="0"/>
        <v>2257.7999999999997</v>
      </c>
      <c r="L19" s="2">
        <v>2527.7999999999997</v>
      </c>
      <c r="M19" s="2">
        <v>3188</v>
      </c>
      <c r="N19" s="1">
        <f t="shared" si="1"/>
        <v>0.79291091593475527</v>
      </c>
    </row>
    <row r="20" spans="1:14" x14ac:dyDescent="0.3">
      <c r="A20">
        <v>2026</v>
      </c>
      <c r="B20" t="s">
        <v>17</v>
      </c>
      <c r="C20" t="s">
        <v>18</v>
      </c>
      <c r="D20" t="s">
        <v>55</v>
      </c>
      <c r="E20" t="s">
        <v>35</v>
      </c>
      <c r="F20" s="4">
        <v>19888.363636363636</v>
      </c>
      <c r="G20">
        <v>6</v>
      </c>
      <c r="H20">
        <v>90</v>
      </c>
      <c r="I20">
        <f t="shared" si="2"/>
        <v>540</v>
      </c>
      <c r="J20">
        <v>0</v>
      </c>
      <c r="K20" s="2">
        <f t="shared" si="0"/>
        <v>14225.34</v>
      </c>
      <c r="L20" s="2">
        <v>14765.34</v>
      </c>
      <c r="M20" s="2">
        <v>20255</v>
      </c>
      <c r="N20" s="1">
        <f t="shared" si="1"/>
        <v>0.72897259935818315</v>
      </c>
    </row>
    <row r="21" spans="1:14" x14ac:dyDescent="0.3">
      <c r="A21">
        <v>2026</v>
      </c>
      <c r="B21" t="s">
        <v>17</v>
      </c>
      <c r="C21" t="s">
        <v>18</v>
      </c>
      <c r="D21" t="s">
        <v>55</v>
      </c>
      <c r="E21" t="s">
        <v>36</v>
      </c>
      <c r="F21" s="4">
        <v>16573.636363636364</v>
      </c>
      <c r="G21">
        <v>5</v>
      </c>
      <c r="H21">
        <v>90</v>
      </c>
      <c r="I21">
        <f t="shared" si="2"/>
        <v>450</v>
      </c>
      <c r="J21">
        <v>0</v>
      </c>
      <c r="K21" s="2">
        <f t="shared" si="0"/>
        <v>858.59999999999991</v>
      </c>
      <c r="L21" s="2">
        <v>1308.5999999999999</v>
      </c>
      <c r="M21" s="2">
        <v>1518</v>
      </c>
      <c r="N21" s="1">
        <f t="shared" si="1"/>
        <v>0.86205533596837935</v>
      </c>
    </row>
    <row r="22" spans="1:14" x14ac:dyDescent="0.3">
      <c r="A22">
        <v>2026</v>
      </c>
      <c r="B22" t="s">
        <v>19</v>
      </c>
      <c r="C22" t="s">
        <v>20</v>
      </c>
      <c r="D22" t="s">
        <v>56</v>
      </c>
      <c r="E22" t="s">
        <v>35</v>
      </c>
      <c r="F22" s="4">
        <v>26866.875</v>
      </c>
      <c r="G22">
        <v>10</v>
      </c>
      <c r="H22">
        <v>90</v>
      </c>
      <c r="I22">
        <f t="shared" si="2"/>
        <v>900</v>
      </c>
      <c r="J22">
        <v>0</v>
      </c>
      <c r="K22" s="2">
        <f t="shared" si="0"/>
        <v>25341.31</v>
      </c>
      <c r="L22" s="2">
        <v>26241.31</v>
      </c>
      <c r="M22" s="2">
        <v>32564</v>
      </c>
      <c r="N22" s="1">
        <f t="shared" si="1"/>
        <v>0.8058380420095812</v>
      </c>
    </row>
    <row r="23" spans="1:14" x14ac:dyDescent="0.3">
      <c r="A23">
        <v>2026</v>
      </c>
      <c r="B23" t="s">
        <v>19</v>
      </c>
      <c r="C23" t="s">
        <v>20</v>
      </c>
      <c r="D23" t="s">
        <v>56</v>
      </c>
      <c r="E23" t="s">
        <v>36</v>
      </c>
      <c r="F23" s="4">
        <v>16120.125</v>
      </c>
      <c r="G23">
        <v>6</v>
      </c>
      <c r="H23">
        <v>90</v>
      </c>
      <c r="I23">
        <f t="shared" si="2"/>
        <v>540</v>
      </c>
      <c r="J23">
        <v>0</v>
      </c>
      <c r="K23" s="2">
        <f t="shared" si="0"/>
        <v>4624.6000000000004</v>
      </c>
      <c r="L23" s="2">
        <v>5164.6000000000004</v>
      </c>
      <c r="M23" s="2">
        <v>5804</v>
      </c>
      <c r="N23" s="1">
        <f t="shared" si="1"/>
        <v>0.88983459682977262</v>
      </c>
    </row>
    <row r="24" spans="1:14" x14ac:dyDescent="0.3">
      <c r="A24">
        <v>2026</v>
      </c>
      <c r="B24" t="s">
        <v>21</v>
      </c>
      <c r="C24" t="s">
        <v>22</v>
      </c>
      <c r="D24" t="s">
        <v>57</v>
      </c>
      <c r="E24" t="s">
        <v>35</v>
      </c>
      <c r="F24" s="4">
        <v>56987.199999999997</v>
      </c>
      <c r="G24">
        <v>20</v>
      </c>
      <c r="H24">
        <v>90</v>
      </c>
      <c r="I24">
        <f t="shared" si="2"/>
        <v>1800</v>
      </c>
      <c r="J24">
        <v>0</v>
      </c>
      <c r="K24" s="2">
        <f t="shared" si="0"/>
        <v>32051.599999999999</v>
      </c>
      <c r="L24" s="2">
        <v>33851.599999999999</v>
      </c>
      <c r="M24" s="2">
        <v>45563</v>
      </c>
      <c r="N24" s="1">
        <f t="shared" si="1"/>
        <v>0.74296249149529225</v>
      </c>
    </row>
    <row r="25" spans="1:14" x14ac:dyDescent="0.3">
      <c r="A25">
        <v>2026</v>
      </c>
      <c r="B25" t="s">
        <v>21</v>
      </c>
      <c r="C25" t="s">
        <v>22</v>
      </c>
      <c r="D25" t="s">
        <v>57</v>
      </c>
      <c r="E25" t="s">
        <v>36</v>
      </c>
      <c r="F25" s="4">
        <v>14246.8</v>
      </c>
      <c r="G25">
        <v>5</v>
      </c>
      <c r="H25">
        <v>90</v>
      </c>
      <c r="I25">
        <f t="shared" si="2"/>
        <v>450</v>
      </c>
      <c r="J25">
        <v>0</v>
      </c>
      <c r="K25" s="2">
        <f t="shared" si="0"/>
        <v>4668.8999999999996</v>
      </c>
      <c r="L25" s="2">
        <v>5118.8999999999996</v>
      </c>
      <c r="M25" s="2">
        <v>4783</v>
      </c>
      <c r="N25" s="1">
        <f t="shared" si="1"/>
        <v>1.0702278904453271</v>
      </c>
    </row>
    <row r="26" spans="1:14" x14ac:dyDescent="0.3">
      <c r="A26">
        <v>2026</v>
      </c>
      <c r="B26" t="s">
        <v>23</v>
      </c>
      <c r="C26" t="s">
        <v>24</v>
      </c>
      <c r="D26" t="s">
        <v>58</v>
      </c>
      <c r="E26" t="s">
        <v>35</v>
      </c>
      <c r="F26" s="4">
        <v>30566.400000000001</v>
      </c>
      <c r="G26">
        <v>6</v>
      </c>
      <c r="H26">
        <v>90</v>
      </c>
      <c r="I26">
        <f t="shared" si="2"/>
        <v>540</v>
      </c>
      <c r="J26">
        <v>0</v>
      </c>
      <c r="K26" s="2">
        <f t="shared" si="0"/>
        <v>20222.099999999999</v>
      </c>
      <c r="L26" s="2">
        <v>20762.099999999999</v>
      </c>
      <c r="M26" s="2">
        <v>29175</v>
      </c>
      <c r="N26" s="1">
        <f t="shared" si="1"/>
        <v>0.71164010282776347</v>
      </c>
    </row>
    <row r="27" spans="1:14" x14ac:dyDescent="0.3">
      <c r="A27">
        <v>2026</v>
      </c>
      <c r="B27" t="s">
        <v>23</v>
      </c>
      <c r="C27" t="s">
        <v>24</v>
      </c>
      <c r="D27" t="s">
        <v>58</v>
      </c>
      <c r="E27" t="s">
        <v>36</v>
      </c>
      <c r="F27" s="4">
        <v>20377.599999999999</v>
      </c>
      <c r="G27">
        <v>4</v>
      </c>
      <c r="H27">
        <v>90</v>
      </c>
      <c r="I27">
        <f t="shared" si="2"/>
        <v>450</v>
      </c>
      <c r="J27">
        <v>1</v>
      </c>
      <c r="K27" s="2">
        <f t="shared" si="0"/>
        <v>1744.1999999999998</v>
      </c>
      <c r="L27" s="2">
        <v>2194.1999999999998</v>
      </c>
      <c r="M27" s="2">
        <v>2029</v>
      </c>
      <c r="N27" s="1">
        <f t="shared" si="1"/>
        <v>1.0814194184327255</v>
      </c>
    </row>
    <row r="28" spans="1:14" x14ac:dyDescent="0.3">
      <c r="A28">
        <v>2026</v>
      </c>
      <c r="B28" t="s">
        <v>25</v>
      </c>
      <c r="C28" t="s">
        <v>26</v>
      </c>
      <c r="D28" t="s">
        <v>59</v>
      </c>
      <c r="E28" t="s">
        <v>35</v>
      </c>
      <c r="F28" s="4">
        <v>21927.599999999999</v>
      </c>
      <c r="G28">
        <v>6</v>
      </c>
      <c r="H28">
        <v>90</v>
      </c>
      <c r="I28">
        <f t="shared" si="2"/>
        <v>540</v>
      </c>
      <c r="J28">
        <v>0</v>
      </c>
      <c r="K28" s="2">
        <f t="shared" si="0"/>
        <v>10603.9</v>
      </c>
      <c r="L28" s="2">
        <v>11143.9</v>
      </c>
      <c r="M28" s="2">
        <v>14240</v>
      </c>
      <c r="N28" s="1">
        <f t="shared" si="1"/>
        <v>0.78257724719101118</v>
      </c>
    </row>
    <row r="29" spans="1:14" x14ac:dyDescent="0.3">
      <c r="A29">
        <v>2026</v>
      </c>
      <c r="B29" t="s">
        <v>25</v>
      </c>
      <c r="C29" t="s">
        <v>26</v>
      </c>
      <c r="D29" t="s">
        <v>59</v>
      </c>
      <c r="E29" t="s">
        <v>36</v>
      </c>
      <c r="F29" s="4">
        <v>14618.4</v>
      </c>
      <c r="G29">
        <v>4</v>
      </c>
      <c r="H29">
        <v>90</v>
      </c>
      <c r="I29">
        <f t="shared" si="2"/>
        <v>450</v>
      </c>
      <c r="J29">
        <v>1</v>
      </c>
      <c r="K29" s="2">
        <f t="shared" si="0"/>
        <v>1853.4</v>
      </c>
      <c r="L29" s="2">
        <v>2303.4</v>
      </c>
      <c r="M29" s="2">
        <v>2249</v>
      </c>
      <c r="N29" s="1">
        <f t="shared" si="1"/>
        <v>1.0241885282347711</v>
      </c>
    </row>
    <row r="30" spans="1:14" x14ac:dyDescent="0.3">
      <c r="A30">
        <v>2026</v>
      </c>
      <c r="B30" t="s">
        <v>27</v>
      </c>
      <c r="C30" t="s">
        <v>28</v>
      </c>
      <c r="D30" t="s">
        <v>60</v>
      </c>
      <c r="E30" t="s">
        <v>35</v>
      </c>
      <c r="F30" s="4">
        <v>25078</v>
      </c>
      <c r="G30">
        <v>10</v>
      </c>
      <c r="H30">
        <v>90</v>
      </c>
      <c r="I30">
        <f t="shared" si="2"/>
        <v>900</v>
      </c>
      <c r="J30">
        <v>0</v>
      </c>
      <c r="K30" s="2">
        <f t="shared" si="0"/>
        <v>12142.78</v>
      </c>
      <c r="L30" s="2">
        <v>13042.78</v>
      </c>
      <c r="M30" s="2">
        <v>17252</v>
      </c>
      <c r="N30" s="1">
        <f t="shared" si="1"/>
        <v>0.75601553443079073</v>
      </c>
    </row>
    <row r="31" spans="1:14" x14ac:dyDescent="0.3">
      <c r="A31">
        <v>2026</v>
      </c>
      <c r="B31" t="s">
        <v>27</v>
      </c>
      <c r="C31" t="s">
        <v>28</v>
      </c>
      <c r="D31" t="s">
        <v>60</v>
      </c>
      <c r="E31" t="s">
        <v>36</v>
      </c>
      <c r="F31" s="4">
        <v>12539</v>
      </c>
      <c r="G31">
        <v>5</v>
      </c>
      <c r="H31">
        <v>90</v>
      </c>
      <c r="I31">
        <f t="shared" si="2"/>
        <v>540</v>
      </c>
      <c r="J31">
        <v>1</v>
      </c>
      <c r="K31" s="2">
        <f t="shared" si="0"/>
        <v>3002.4</v>
      </c>
      <c r="L31" s="2">
        <v>3542.4</v>
      </c>
      <c r="M31" s="2">
        <v>4445</v>
      </c>
      <c r="N31" s="1">
        <f t="shared" si="1"/>
        <v>0.79694038245219345</v>
      </c>
    </row>
    <row r="32" spans="1:14" x14ac:dyDescent="0.3">
      <c r="A32">
        <v>2026</v>
      </c>
      <c r="B32" t="s">
        <v>29</v>
      </c>
      <c r="C32" t="s">
        <v>30</v>
      </c>
      <c r="D32" t="s">
        <v>61</v>
      </c>
      <c r="E32" t="s">
        <v>35</v>
      </c>
      <c r="F32" s="4">
        <v>52426.5</v>
      </c>
      <c r="G32">
        <v>15</v>
      </c>
      <c r="H32">
        <v>90</v>
      </c>
      <c r="I32">
        <f t="shared" si="2"/>
        <v>1350</v>
      </c>
      <c r="J32">
        <v>0</v>
      </c>
      <c r="K32" s="2">
        <f t="shared" si="0"/>
        <v>16536.91</v>
      </c>
      <c r="L32" s="2">
        <v>17886.91</v>
      </c>
      <c r="M32" s="2">
        <v>23641</v>
      </c>
      <c r="N32" s="1">
        <f t="shared" si="1"/>
        <v>0.75660547354172836</v>
      </c>
    </row>
    <row r="33" spans="1:14" x14ac:dyDescent="0.3">
      <c r="A33">
        <v>2026</v>
      </c>
      <c r="B33" t="s">
        <v>29</v>
      </c>
      <c r="C33" t="s">
        <v>30</v>
      </c>
      <c r="D33" t="s">
        <v>61</v>
      </c>
      <c r="E33" t="s">
        <v>36</v>
      </c>
      <c r="F33" s="4">
        <v>17475.5</v>
      </c>
      <c r="G33">
        <v>5</v>
      </c>
      <c r="H33">
        <v>90</v>
      </c>
      <c r="I33">
        <f t="shared" si="2"/>
        <v>540</v>
      </c>
      <c r="J33">
        <v>1</v>
      </c>
      <c r="K33" s="2">
        <f t="shared" si="0"/>
        <v>14107.400000000001</v>
      </c>
      <c r="L33" s="2">
        <v>14647.400000000001</v>
      </c>
      <c r="M33" s="2">
        <v>5764</v>
      </c>
      <c r="N33" s="1">
        <f t="shared" si="1"/>
        <v>2.5411866759195005</v>
      </c>
    </row>
    <row r="34" spans="1:14" x14ac:dyDescent="0.3">
      <c r="A34">
        <v>2026</v>
      </c>
      <c r="B34" t="s">
        <v>31</v>
      </c>
      <c r="C34" t="s">
        <v>32</v>
      </c>
      <c r="D34" t="s">
        <v>62</v>
      </c>
      <c r="E34" t="s">
        <v>35</v>
      </c>
      <c r="F34" s="4">
        <v>37716.75</v>
      </c>
      <c r="G34">
        <v>15</v>
      </c>
      <c r="H34">
        <v>90</v>
      </c>
      <c r="I34">
        <f t="shared" si="2"/>
        <v>1530</v>
      </c>
      <c r="J34">
        <v>2</v>
      </c>
      <c r="K34" s="2">
        <f t="shared" si="0"/>
        <v>26319.89</v>
      </c>
      <c r="L34" s="2">
        <v>27849.89</v>
      </c>
      <c r="M34" s="2">
        <v>37872</v>
      </c>
      <c r="N34" s="1">
        <f t="shared" si="1"/>
        <v>0.73536887410223906</v>
      </c>
    </row>
    <row r="35" spans="1:14" x14ac:dyDescent="0.3">
      <c r="A35">
        <v>2026</v>
      </c>
      <c r="B35" t="s">
        <v>31</v>
      </c>
      <c r="C35" t="s">
        <v>32</v>
      </c>
      <c r="D35" t="s">
        <v>62</v>
      </c>
      <c r="E35" t="s">
        <v>36</v>
      </c>
      <c r="F35" s="4">
        <v>12572.25</v>
      </c>
      <c r="G35">
        <v>5</v>
      </c>
      <c r="H35">
        <v>90</v>
      </c>
      <c r="I35">
        <f t="shared" si="2"/>
        <v>540</v>
      </c>
      <c r="J35">
        <v>1</v>
      </c>
      <c r="K35" s="2">
        <f t="shared" si="0"/>
        <v>5531.9999999999991</v>
      </c>
      <c r="L35" s="2">
        <v>6071.9999999999991</v>
      </c>
      <c r="M35" s="2">
        <v>8209</v>
      </c>
      <c r="N35" s="1">
        <f t="shared" si="1"/>
        <v>0.73967596540382496</v>
      </c>
    </row>
    <row r="36" spans="1:14" x14ac:dyDescent="0.3">
      <c r="A36">
        <v>2026</v>
      </c>
      <c r="B36" t="s">
        <v>33</v>
      </c>
      <c r="C36" t="s">
        <v>34</v>
      </c>
      <c r="D36" t="s">
        <v>63</v>
      </c>
      <c r="E36" t="s">
        <v>35</v>
      </c>
      <c r="F36" s="4">
        <v>46212.705882352944</v>
      </c>
      <c r="G36">
        <v>12</v>
      </c>
      <c r="H36">
        <v>90</v>
      </c>
      <c r="I36">
        <f t="shared" si="2"/>
        <v>1260</v>
      </c>
      <c r="J36">
        <v>2</v>
      </c>
      <c r="K36" s="2">
        <f t="shared" si="0"/>
        <v>32867.72</v>
      </c>
      <c r="L36" s="2">
        <v>34127.72</v>
      </c>
      <c r="M36" s="2">
        <v>27032</v>
      </c>
      <c r="N36" s="1">
        <f t="shared" si="1"/>
        <v>1.2624933412252146</v>
      </c>
    </row>
    <row r="37" spans="1:14" x14ac:dyDescent="0.3">
      <c r="A37">
        <v>2026</v>
      </c>
      <c r="B37" t="s">
        <v>33</v>
      </c>
      <c r="C37" t="s">
        <v>34</v>
      </c>
      <c r="D37" t="s">
        <v>63</v>
      </c>
      <c r="E37" t="s">
        <v>36</v>
      </c>
      <c r="F37" s="4">
        <v>19255.294117647059</v>
      </c>
      <c r="G37">
        <v>5</v>
      </c>
      <c r="H37">
        <v>90</v>
      </c>
      <c r="I37">
        <f t="shared" si="2"/>
        <v>540</v>
      </c>
      <c r="J37">
        <v>1</v>
      </c>
      <c r="K37" s="2">
        <f t="shared" si="0"/>
        <v>3821</v>
      </c>
      <c r="L37" s="2">
        <v>4361</v>
      </c>
      <c r="M37" s="2">
        <v>4939</v>
      </c>
      <c r="N37" s="1">
        <f t="shared" si="1"/>
        <v>0.88297226159141529</v>
      </c>
    </row>
    <row r="38" spans="1:14" x14ac:dyDescent="0.3">
      <c r="A38">
        <v>2027</v>
      </c>
      <c r="B38" t="s">
        <v>10</v>
      </c>
      <c r="C38" t="s">
        <v>11</v>
      </c>
      <c r="D38" t="s">
        <v>64</v>
      </c>
      <c r="E38" t="s">
        <v>35</v>
      </c>
      <c r="F38" s="3">
        <v>26000</v>
      </c>
      <c r="G38">
        <v>10</v>
      </c>
      <c r="H38">
        <v>90</v>
      </c>
      <c r="I38">
        <f t="shared" si="2"/>
        <v>1080</v>
      </c>
      <c r="J38">
        <v>2</v>
      </c>
      <c r="K38" s="2">
        <f t="shared" si="0"/>
        <v>-386.87</v>
      </c>
      <c r="L38" s="2">
        <v>693.13</v>
      </c>
      <c r="M38">
        <v>19179</v>
      </c>
      <c r="N38" s="1">
        <f t="shared" si="1"/>
        <v>3.6140049011940144E-2</v>
      </c>
    </row>
    <row r="39" spans="1:14" x14ac:dyDescent="0.3">
      <c r="A39">
        <v>2027</v>
      </c>
      <c r="B39" t="s">
        <v>10</v>
      </c>
      <c r="C39" t="s">
        <v>11</v>
      </c>
      <c r="D39" t="s">
        <v>64</v>
      </c>
      <c r="E39" t="s">
        <v>36</v>
      </c>
      <c r="F39" s="3">
        <v>13000</v>
      </c>
      <c r="G39">
        <v>5</v>
      </c>
      <c r="H39">
        <v>90</v>
      </c>
      <c r="I39">
        <f t="shared" si="2"/>
        <v>540</v>
      </c>
      <c r="J39">
        <v>1</v>
      </c>
      <c r="K39" s="2">
        <f t="shared" si="0"/>
        <v>2728.2</v>
      </c>
      <c r="L39" s="2">
        <v>3268.2</v>
      </c>
      <c r="M39" s="2">
        <v>3728</v>
      </c>
      <c r="N39" s="1">
        <f t="shared" si="1"/>
        <v>0.87666309012875532</v>
      </c>
    </row>
    <row r="40" spans="1:14" x14ac:dyDescent="0.3">
      <c r="A40">
        <v>2027</v>
      </c>
      <c r="B40" t="s">
        <v>13</v>
      </c>
      <c r="C40" t="s">
        <v>14</v>
      </c>
      <c r="D40" t="s">
        <v>65</v>
      </c>
      <c r="E40" t="s">
        <v>35</v>
      </c>
      <c r="F40" s="3">
        <v>28000</v>
      </c>
      <c r="G40">
        <v>14</v>
      </c>
      <c r="H40">
        <v>90</v>
      </c>
      <c r="I40">
        <f t="shared" si="2"/>
        <v>1530</v>
      </c>
      <c r="J40">
        <v>3</v>
      </c>
      <c r="K40" s="2">
        <f t="shared" si="0"/>
        <v>7199.6399999999994</v>
      </c>
      <c r="L40" s="2">
        <v>8729.64</v>
      </c>
      <c r="M40" s="2">
        <v>9780</v>
      </c>
      <c r="N40" s="1">
        <f t="shared" si="1"/>
        <v>0.89260122699386502</v>
      </c>
    </row>
    <row r="41" spans="1:14" x14ac:dyDescent="0.3">
      <c r="A41">
        <v>2027</v>
      </c>
      <c r="B41" t="s">
        <v>13</v>
      </c>
      <c r="C41" t="s">
        <v>14</v>
      </c>
      <c r="D41" t="s">
        <v>65</v>
      </c>
      <c r="E41" t="s">
        <v>36</v>
      </c>
      <c r="F41" s="3">
        <v>10000</v>
      </c>
      <c r="G41">
        <v>5</v>
      </c>
      <c r="H41">
        <v>90</v>
      </c>
      <c r="I41">
        <f t="shared" si="2"/>
        <v>540</v>
      </c>
      <c r="J41">
        <v>1</v>
      </c>
      <c r="K41" s="2">
        <f t="shared" si="0"/>
        <v>2525.3999999999996</v>
      </c>
      <c r="L41" s="2">
        <f>212.4+19.2+633+244.2+1956.6</f>
        <v>3065.3999999999996</v>
      </c>
      <c r="M41" s="2">
        <v>3735</v>
      </c>
      <c r="N41" s="1">
        <f t="shared" si="1"/>
        <v>0.82072289156626499</v>
      </c>
    </row>
    <row r="42" spans="1:14" x14ac:dyDescent="0.3">
      <c r="A42">
        <v>2027</v>
      </c>
      <c r="B42" t="s">
        <v>15</v>
      </c>
      <c r="C42" t="s">
        <v>16</v>
      </c>
      <c r="D42" t="s">
        <v>66</v>
      </c>
      <c r="E42" t="s">
        <v>35</v>
      </c>
      <c r="F42" s="3">
        <v>24615.384615384617</v>
      </c>
      <c r="G42">
        <v>8</v>
      </c>
      <c r="H42">
        <v>90</v>
      </c>
      <c r="I42">
        <f t="shared" si="2"/>
        <v>990</v>
      </c>
      <c r="J42">
        <v>3</v>
      </c>
    </row>
    <row r="43" spans="1:14" x14ac:dyDescent="0.3">
      <c r="A43">
        <v>2027</v>
      </c>
      <c r="B43" t="s">
        <v>15</v>
      </c>
      <c r="C43" t="s">
        <v>16</v>
      </c>
      <c r="D43" t="s">
        <v>66</v>
      </c>
      <c r="E43" t="s">
        <v>36</v>
      </c>
      <c r="F43" s="3">
        <v>15384.615384615385</v>
      </c>
      <c r="G43">
        <v>5</v>
      </c>
      <c r="H43">
        <v>90</v>
      </c>
      <c r="I43">
        <f t="shared" si="2"/>
        <v>540</v>
      </c>
      <c r="J43">
        <v>1</v>
      </c>
    </row>
    <row r="44" spans="1:14" x14ac:dyDescent="0.3">
      <c r="A44">
        <v>2027</v>
      </c>
      <c r="B44" t="s">
        <v>17</v>
      </c>
      <c r="C44" t="s">
        <v>18</v>
      </c>
      <c r="D44" t="s">
        <v>67</v>
      </c>
      <c r="E44" t="s">
        <v>35</v>
      </c>
      <c r="F44" s="3">
        <v>16941.176470588234</v>
      </c>
      <c r="G44">
        <v>12</v>
      </c>
      <c r="H44">
        <v>90</v>
      </c>
      <c r="I44">
        <f t="shared" si="2"/>
        <v>1350</v>
      </c>
      <c r="J44">
        <v>3</v>
      </c>
    </row>
    <row r="45" spans="1:14" x14ac:dyDescent="0.3">
      <c r="A45">
        <v>2027</v>
      </c>
      <c r="B45" t="s">
        <v>17</v>
      </c>
      <c r="C45" t="s">
        <v>18</v>
      </c>
      <c r="D45" t="s">
        <v>67</v>
      </c>
      <c r="E45" t="s">
        <v>36</v>
      </c>
      <c r="F45" s="3">
        <v>7058.8235294117649</v>
      </c>
      <c r="G45">
        <v>5</v>
      </c>
      <c r="H45">
        <v>90</v>
      </c>
      <c r="I45">
        <f t="shared" si="2"/>
        <v>540</v>
      </c>
      <c r="J45">
        <v>1</v>
      </c>
    </row>
    <row r="46" spans="1:14" x14ac:dyDescent="0.3">
      <c r="A46">
        <v>2027</v>
      </c>
      <c r="B46" t="s">
        <v>19</v>
      </c>
      <c r="C46" t="s">
        <v>20</v>
      </c>
      <c r="D46" t="s">
        <v>68</v>
      </c>
      <c r="E46" t="s">
        <v>35</v>
      </c>
      <c r="F46" s="3">
        <v>21637.5</v>
      </c>
      <c r="G46">
        <v>15</v>
      </c>
      <c r="H46">
        <v>90</v>
      </c>
      <c r="I46">
        <f t="shared" si="2"/>
        <v>1620</v>
      </c>
      <c r="J46">
        <v>3</v>
      </c>
    </row>
    <row r="47" spans="1:14" x14ac:dyDescent="0.3">
      <c r="A47">
        <v>2027</v>
      </c>
      <c r="B47" t="s">
        <v>19</v>
      </c>
      <c r="C47" t="s">
        <v>20</v>
      </c>
      <c r="D47" t="s">
        <v>68</v>
      </c>
      <c r="E47" t="s">
        <v>36</v>
      </c>
      <c r="F47" s="3">
        <v>7212.5</v>
      </c>
      <c r="G47">
        <v>5</v>
      </c>
      <c r="H47">
        <v>90</v>
      </c>
      <c r="I47">
        <f t="shared" si="2"/>
        <v>540</v>
      </c>
      <c r="J47">
        <v>1</v>
      </c>
    </row>
    <row r="48" spans="1:14" x14ac:dyDescent="0.3">
      <c r="A48">
        <v>2027</v>
      </c>
      <c r="B48" t="s">
        <v>21</v>
      </c>
      <c r="C48" t="s">
        <v>22</v>
      </c>
      <c r="D48" t="s">
        <v>69</v>
      </c>
      <c r="E48" t="s">
        <v>35</v>
      </c>
      <c r="F48" s="3">
        <v>38280</v>
      </c>
      <c r="G48">
        <v>20</v>
      </c>
      <c r="H48">
        <v>90</v>
      </c>
      <c r="I48">
        <f t="shared" si="2"/>
        <v>2070</v>
      </c>
      <c r="J48">
        <v>3</v>
      </c>
    </row>
    <row r="49" spans="1:10" x14ac:dyDescent="0.3">
      <c r="A49">
        <v>2027</v>
      </c>
      <c r="B49" t="s">
        <v>21</v>
      </c>
      <c r="C49" t="s">
        <v>22</v>
      </c>
      <c r="D49" t="s">
        <v>69</v>
      </c>
      <c r="E49" t="s">
        <v>36</v>
      </c>
      <c r="F49" s="3">
        <v>9570</v>
      </c>
      <c r="G49">
        <v>5</v>
      </c>
      <c r="H49">
        <v>90</v>
      </c>
      <c r="I49">
        <f t="shared" si="2"/>
        <v>540</v>
      </c>
      <c r="J49">
        <v>1</v>
      </c>
    </row>
    <row r="50" spans="1:10" x14ac:dyDescent="0.3">
      <c r="A50">
        <v>2027</v>
      </c>
      <c r="B50" t="s">
        <v>23</v>
      </c>
      <c r="C50" t="s">
        <v>24</v>
      </c>
      <c r="D50" t="s">
        <v>70</v>
      </c>
      <c r="E50" t="s">
        <v>35</v>
      </c>
      <c r="F50" s="3">
        <v>16500</v>
      </c>
      <c r="G50">
        <v>5</v>
      </c>
      <c r="H50">
        <v>90</v>
      </c>
      <c r="I50">
        <f t="shared" si="2"/>
        <v>720</v>
      </c>
      <c r="J50">
        <v>3</v>
      </c>
    </row>
    <row r="51" spans="1:10" x14ac:dyDescent="0.3">
      <c r="A51">
        <v>2027</v>
      </c>
      <c r="B51" t="s">
        <v>23</v>
      </c>
      <c r="C51" t="s">
        <v>24</v>
      </c>
      <c r="D51" t="s">
        <v>70</v>
      </c>
      <c r="E51" t="s">
        <v>36</v>
      </c>
      <c r="F51" s="3">
        <v>16500</v>
      </c>
      <c r="G51">
        <v>5</v>
      </c>
      <c r="H51">
        <v>90</v>
      </c>
      <c r="I51">
        <f t="shared" si="2"/>
        <v>540</v>
      </c>
      <c r="J51">
        <v>1</v>
      </c>
    </row>
    <row r="52" spans="1:10" x14ac:dyDescent="0.3">
      <c r="A52">
        <v>2027</v>
      </c>
      <c r="B52" t="s">
        <v>25</v>
      </c>
      <c r="C52" t="s">
        <v>26</v>
      </c>
      <c r="D52" t="s">
        <v>71</v>
      </c>
      <c r="E52" t="s">
        <v>35</v>
      </c>
      <c r="F52" s="3">
        <v>12000</v>
      </c>
      <c r="G52">
        <v>5</v>
      </c>
      <c r="H52">
        <v>90</v>
      </c>
      <c r="I52">
        <f t="shared" si="2"/>
        <v>720</v>
      </c>
      <c r="J52">
        <v>3</v>
      </c>
    </row>
    <row r="53" spans="1:10" x14ac:dyDescent="0.3">
      <c r="A53">
        <v>2027</v>
      </c>
      <c r="B53" t="s">
        <v>25</v>
      </c>
      <c r="C53" t="s">
        <v>26</v>
      </c>
      <c r="D53" t="s">
        <v>71</v>
      </c>
      <c r="E53" t="s">
        <v>36</v>
      </c>
      <c r="F53" s="3">
        <v>12000</v>
      </c>
      <c r="G53">
        <v>5</v>
      </c>
      <c r="H53">
        <v>90</v>
      </c>
      <c r="I53">
        <f t="shared" si="2"/>
        <v>540</v>
      </c>
      <c r="J53">
        <v>1</v>
      </c>
    </row>
    <row r="54" spans="1:10" x14ac:dyDescent="0.3">
      <c r="A54">
        <v>2027</v>
      </c>
      <c r="B54" t="s">
        <v>27</v>
      </c>
      <c r="C54" t="s">
        <v>28</v>
      </c>
      <c r="D54" t="s">
        <v>72</v>
      </c>
      <c r="E54" t="s">
        <v>35</v>
      </c>
      <c r="F54" s="3">
        <v>16666.666666666668</v>
      </c>
      <c r="G54">
        <v>10</v>
      </c>
      <c r="H54">
        <v>90</v>
      </c>
      <c r="I54">
        <f t="shared" si="2"/>
        <v>1170</v>
      </c>
      <c r="J54">
        <v>3</v>
      </c>
    </row>
    <row r="55" spans="1:10" x14ac:dyDescent="0.3">
      <c r="A55">
        <v>2027</v>
      </c>
      <c r="B55" t="s">
        <v>27</v>
      </c>
      <c r="C55" t="s">
        <v>28</v>
      </c>
      <c r="D55" t="s">
        <v>72</v>
      </c>
      <c r="E55" t="s">
        <v>36</v>
      </c>
      <c r="F55" s="3">
        <v>8333.3333333333339</v>
      </c>
      <c r="G55">
        <v>5</v>
      </c>
      <c r="H55">
        <v>90</v>
      </c>
      <c r="I55">
        <f t="shared" si="2"/>
        <v>540</v>
      </c>
      <c r="J55">
        <v>1</v>
      </c>
    </row>
    <row r="56" spans="1:10" x14ac:dyDescent="0.3">
      <c r="A56">
        <v>2027</v>
      </c>
      <c r="B56" t="s">
        <v>29</v>
      </c>
      <c r="C56" t="s">
        <v>30</v>
      </c>
      <c r="D56" t="s">
        <v>73</v>
      </c>
      <c r="E56" t="s">
        <v>35</v>
      </c>
      <c r="F56" s="3">
        <v>33750</v>
      </c>
      <c r="G56">
        <v>15</v>
      </c>
      <c r="H56">
        <v>90</v>
      </c>
      <c r="I56">
        <f t="shared" si="2"/>
        <v>1620</v>
      </c>
      <c r="J56">
        <v>3</v>
      </c>
    </row>
    <row r="57" spans="1:10" x14ac:dyDescent="0.3">
      <c r="A57">
        <v>2027</v>
      </c>
      <c r="B57" t="s">
        <v>29</v>
      </c>
      <c r="C57" t="s">
        <v>30</v>
      </c>
      <c r="D57" t="s">
        <v>73</v>
      </c>
      <c r="E57" t="s">
        <v>36</v>
      </c>
      <c r="F57" s="3">
        <v>11250</v>
      </c>
      <c r="G57">
        <v>5</v>
      </c>
      <c r="H57">
        <v>90</v>
      </c>
      <c r="I57">
        <f t="shared" si="2"/>
        <v>540</v>
      </c>
      <c r="J57">
        <v>1</v>
      </c>
    </row>
    <row r="58" spans="1:10" x14ac:dyDescent="0.3">
      <c r="A58">
        <v>2027</v>
      </c>
      <c r="B58" t="s">
        <v>31</v>
      </c>
      <c r="C58" t="s">
        <v>32</v>
      </c>
      <c r="D58" t="s">
        <v>74</v>
      </c>
      <c r="E58" t="s">
        <v>35</v>
      </c>
      <c r="F58" s="3">
        <v>24750</v>
      </c>
      <c r="G58">
        <v>15</v>
      </c>
      <c r="H58">
        <v>90</v>
      </c>
      <c r="I58">
        <f t="shared" si="2"/>
        <v>1620</v>
      </c>
      <c r="J58">
        <v>3</v>
      </c>
    </row>
    <row r="59" spans="1:10" x14ac:dyDescent="0.3">
      <c r="A59">
        <v>2027</v>
      </c>
      <c r="B59" t="s">
        <v>31</v>
      </c>
      <c r="C59" t="s">
        <v>32</v>
      </c>
      <c r="D59" t="s">
        <v>74</v>
      </c>
      <c r="E59" t="s">
        <v>36</v>
      </c>
      <c r="F59" s="3">
        <v>8250</v>
      </c>
      <c r="G59">
        <v>5</v>
      </c>
      <c r="H59">
        <v>90</v>
      </c>
      <c r="I59">
        <f t="shared" si="2"/>
        <v>540</v>
      </c>
      <c r="J59">
        <v>1</v>
      </c>
    </row>
    <row r="60" spans="1:10" x14ac:dyDescent="0.3">
      <c r="A60">
        <v>2027</v>
      </c>
      <c r="B60" t="s">
        <v>33</v>
      </c>
      <c r="C60" t="s">
        <v>34</v>
      </c>
      <c r="D60" t="s">
        <v>75</v>
      </c>
      <c r="E60" t="s">
        <v>35</v>
      </c>
      <c r="F60" s="3">
        <v>18352.941176470587</v>
      </c>
      <c r="G60">
        <v>12</v>
      </c>
      <c r="H60">
        <v>90</v>
      </c>
      <c r="I60">
        <f t="shared" si="2"/>
        <v>1350</v>
      </c>
      <c r="J60">
        <v>3</v>
      </c>
    </row>
    <row r="61" spans="1:10" x14ac:dyDescent="0.3">
      <c r="A61">
        <v>2027</v>
      </c>
      <c r="B61" t="s">
        <v>33</v>
      </c>
      <c r="C61" t="s">
        <v>34</v>
      </c>
      <c r="D61" t="s">
        <v>75</v>
      </c>
      <c r="E61" t="s">
        <v>36</v>
      </c>
      <c r="F61" s="3">
        <v>7647.0588235294117</v>
      </c>
      <c r="G61">
        <v>5</v>
      </c>
      <c r="H61">
        <v>90</v>
      </c>
      <c r="I61">
        <f t="shared" si="2"/>
        <v>540</v>
      </c>
      <c r="J6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A53934DB9794594A203703426F4C9" ma:contentTypeVersion="25" ma:contentTypeDescription="Create a new document." ma:contentTypeScope="" ma:versionID="3fa447430b661cd29b1ec372f5f0ccb7">
  <xsd:schema xmlns:xsd="http://www.w3.org/2001/XMLSchema" xmlns:xs="http://www.w3.org/2001/XMLSchema" xmlns:p="http://schemas.microsoft.com/office/2006/metadata/properties" xmlns:ns2="0044353e-c813-41f4-ad1d-5752f315ff22" xmlns:ns3="27077202-8a44-4184-8f0f-c031b310bcad" targetNamespace="http://schemas.microsoft.com/office/2006/metadata/properties" ma:root="true" ma:fieldsID="8340d0492d92070a09496c9d764e4379" ns2:_="" ns3:_="">
    <xsd:import namespace="0044353e-c813-41f4-ad1d-5752f315ff22"/>
    <xsd:import namespace="27077202-8a44-4184-8f0f-c031b310bc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CR" minOccurs="0"/>
                <xsd:element ref="ns3:MediaServiceSearchProperties" minOccurs="0"/>
                <xsd:element ref="ns3:MediaServiceBillingMetadata" minOccurs="0"/>
                <xsd:element ref="ns3:Nombre_x0020_del_x0020_participan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4353e-c813-41f4-ad1d-5752f315ff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77202-8a44-4184-8f0f-c031b310bc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7d52f8e-b959-45ba-874b-00a8a51557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mbre_x0020_del_x0020_participante" ma:index="23" nillable="true" ma:displayName="Nombre del participante" ma:internalName="Nombre_x0020_del_x0020_participan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077202-8a44-4184-8f0f-c031b310bcad">
      <Terms xmlns="http://schemas.microsoft.com/office/infopath/2007/PartnerControls"/>
    </lcf76f155ced4ddcb4097134ff3c332f>
    <Nombre_x0020_del_x0020_participante xmlns="27077202-8a44-4184-8f0f-c031b310bc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10060E-CE96-48CA-8EB2-5A464496B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44353e-c813-41f4-ad1d-5752f315ff22"/>
    <ds:schemaRef ds:uri="27077202-8a44-4184-8f0f-c031b310bc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88406D-97DE-4959-8130-1BD10CD88E9C}">
  <ds:schemaRefs>
    <ds:schemaRef ds:uri="http://schemas.microsoft.com/office/2006/metadata/properties"/>
    <ds:schemaRef ds:uri="http://schemas.microsoft.com/office/infopath/2007/PartnerControls"/>
    <ds:schemaRef ds:uri="27077202-8a44-4184-8f0f-c031b310bcad"/>
  </ds:schemaRefs>
</ds:datastoreItem>
</file>

<file path=customXml/itemProps3.xml><?xml version="1.0" encoding="utf-8"?>
<ds:datastoreItem xmlns:ds="http://schemas.openxmlformats.org/officeDocument/2006/customXml" ds:itemID="{D267A848-8AC9-4F83-ADB0-8A3E99B17E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PagoTraducciones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Cordova</dc:creator>
  <cp:lastModifiedBy>Samuel Cordova</cp:lastModifiedBy>
  <dcterms:created xsi:type="dcterms:W3CDTF">2015-06-05T18:17:20Z</dcterms:created>
  <dcterms:modified xsi:type="dcterms:W3CDTF">2026-08-21T05:57:48Z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0x010100206A53934DB9794594A203703426F4C9</vt:lpwstr>
  </property>
  <property fmtid="{D5CDD505-2E9C-101B-9397-08002B2CF9AE}" pid="3" name="MediaServiceImageTags">
    <vt:lpwstr/>
  </property>
</Properties>
</file>